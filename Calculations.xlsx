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realProjects\CourseTutorials\"/>
    </mc:Choice>
  </mc:AlternateContent>
  <xr:revisionPtr revIDLastSave="0" documentId="13_ncr:1_{8A5CE68B-7652-4AFB-B020-E23B3AA71196}" xr6:coauthVersionLast="47" xr6:coauthVersionMax="47" xr10:uidLastSave="{00000000-0000-0000-0000-000000000000}"/>
  <bookViews>
    <workbookView xWindow="-120" yWindow="-120" windowWidth="25440" windowHeight="15270" xr2:uid="{51D1CC83-80BF-4CA6-862D-6BA69C9A7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5" i="1"/>
  <c r="H16" i="1"/>
  <c r="H13" i="1"/>
  <c r="H14" i="1" s="1"/>
  <c r="H10" i="1"/>
  <c r="H20" i="1" s="1"/>
  <c r="H9" i="1"/>
  <c r="H19" i="1" s="1"/>
  <c r="H8" i="1"/>
  <c r="H18" i="1" s="1"/>
  <c r="H7" i="1"/>
  <c r="H17" i="1" s="1"/>
  <c r="H6" i="1"/>
  <c r="H5" i="1"/>
  <c r="H15" i="1" s="1"/>
  <c r="H4" i="1"/>
  <c r="H3" i="1"/>
  <c r="G6" i="1"/>
  <c r="G5" i="1"/>
  <c r="G4" i="1"/>
  <c r="G8" i="1"/>
  <c r="G7" i="1"/>
  <c r="O13" i="1"/>
  <c r="P13" i="1" s="1"/>
  <c r="G13" i="1"/>
  <c r="D20" i="1"/>
  <c r="D19" i="1"/>
  <c r="D18" i="1"/>
  <c r="D17" i="1"/>
  <c r="D16" i="1"/>
  <c r="D15" i="1"/>
  <c r="D14" i="1"/>
  <c r="D13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<sst xmlns="http://schemas.openxmlformats.org/spreadsheetml/2006/main" count="29" uniqueCount="20">
  <si>
    <t>Mercury</t>
  </si>
  <si>
    <t>Venus</t>
  </si>
  <si>
    <t>Earth</t>
  </si>
  <si>
    <t>Mars</t>
  </si>
  <si>
    <t>Jupiter</t>
  </si>
  <si>
    <t>Saturn</t>
  </si>
  <si>
    <t>Uranus</t>
  </si>
  <si>
    <t>Neptune</t>
  </si>
  <si>
    <t>Planets</t>
  </si>
  <si>
    <t>Diameter Of Sun (KM)</t>
  </si>
  <si>
    <t>Unreal Diameter</t>
  </si>
  <si>
    <t>Unreal Distance</t>
  </si>
  <si>
    <t>Default Unreal Sphere Scale</t>
  </si>
  <si>
    <t>Default Unreal Sphere Diameter (Meters)</t>
  </si>
  <si>
    <t>Diameter (KM)</t>
  </si>
  <si>
    <t>Distance from Sun (KM)</t>
  </si>
  <si>
    <t>Diameter (M)</t>
  </si>
  <si>
    <t>Distance from Sun (M)</t>
  </si>
  <si>
    <t>Diameter Of Sun (M)</t>
  </si>
  <si>
    <t>Orbital Speed (KM/S)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</si>
</sst>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2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57C8-F314-43A1-BEFB-04868F387A8A}">
  <dimension ref="B1:Q20"/>
  <sheetViews>
    <sheetView tabSelected="1" workbookViewId="0">
      <selection activeCell="J20" sqref="J20"/>
    </sheetView>
  </sheetViews>
  <sheetFormatPr defaultRowHeight="15" x14ac:dyDescent="0.25"/>
  <cols>
    <col min="1" max="1" width="3.42578125" customWidth="1"/>
    <col min="3" max="3" width="13.7109375" bestFit="1" customWidth="1"/>
    <col min="4" max="4" width="22" bestFit="1" customWidth="1"/>
    <col min="5" max="5" width="22" customWidth="1"/>
    <col min="6" max="6" width="2" customWidth="1"/>
    <col min="7" max="7" width="15.42578125" bestFit="1" customWidth="1"/>
    <col min="8" max="8" width="15.140625" bestFit="1" customWidth="1"/>
    <col min="9" max="9" width="2.5703125" customWidth="1"/>
    <col min="10" max="10" width="25.7109375" bestFit="1" customWidth="1"/>
    <col min="11" max="11" width="37" bestFit="1" customWidth="1"/>
    <col min="12" max="12" width="2.28515625" customWidth="1"/>
    <col min="13" max="14" width="1.7109375" customWidth="1"/>
    <col min="15" max="15" width="20" bestFit="1" customWidth="1"/>
    <col min="16" max="16" width="15.42578125" bestFit="1" customWidth="1"/>
    <col min="17" max="17" width="10.5703125" bestFit="1" customWidth="1"/>
  </cols>
  <sheetData>
    <row r="1" spans="2:17" ht="9.75" customHeight="1" x14ac:dyDescent="0.25"/>
    <row r="2" spans="2:17" x14ac:dyDescent="0.25">
      <c r="B2" s="5" t="s">
        <v>8</v>
      </c>
      <c r="C2" s="5" t="s">
        <v>14</v>
      </c>
      <c r="D2" s="5" t="s">
        <v>15</v>
      </c>
      <c r="E2" s="5" t="s">
        <v>19</v>
      </c>
      <c r="F2" s="5"/>
      <c r="G2" s="5" t="s">
        <v>10</v>
      </c>
      <c r="H2" s="5" t="s">
        <v>11</v>
      </c>
    </row>
    <row r="3" spans="2:17" x14ac:dyDescent="0.25">
      <c r="B3" t="s">
        <v>0</v>
      </c>
      <c r="C3" s="2">
        <v>4879</v>
      </c>
      <c r="D3" s="2">
        <v>58000000</v>
      </c>
      <c r="E3" s="6">
        <v>47.9</v>
      </c>
      <c r="G3" s="4">
        <v>24</v>
      </c>
      <c r="H3" s="3">
        <f t="shared" ref="H3:H10" si="0">D3/100000</f>
        <v>580</v>
      </c>
      <c r="J3" s="1"/>
    </row>
    <row r="4" spans="2:17" x14ac:dyDescent="0.25">
      <c r="B4" t="s">
        <v>1</v>
      </c>
      <c r="C4" s="2">
        <v>12104</v>
      </c>
      <c r="D4" s="2">
        <v>108000000</v>
      </c>
      <c r="E4" s="2">
        <v>35</v>
      </c>
      <c r="G4" s="4">
        <f>121/2</f>
        <v>60.5</v>
      </c>
      <c r="H4" s="3">
        <f t="shared" si="0"/>
        <v>1080</v>
      </c>
    </row>
    <row r="5" spans="2:17" x14ac:dyDescent="0.25">
      <c r="B5" t="s">
        <v>2</v>
      </c>
      <c r="C5" s="2">
        <v>12756</v>
      </c>
      <c r="D5" s="2">
        <v>150000000</v>
      </c>
      <c r="E5" s="2">
        <v>30</v>
      </c>
      <c r="G5" s="4">
        <f>127/2</f>
        <v>63.5</v>
      </c>
      <c r="H5" s="3">
        <f t="shared" si="0"/>
        <v>1500</v>
      </c>
    </row>
    <row r="6" spans="2:17" x14ac:dyDescent="0.25">
      <c r="B6" t="s">
        <v>3</v>
      </c>
      <c r="C6" s="2">
        <v>6779</v>
      </c>
      <c r="D6" s="2">
        <v>228000000</v>
      </c>
      <c r="E6" s="2">
        <v>24</v>
      </c>
      <c r="G6" s="4">
        <f>67/2</f>
        <v>33.5</v>
      </c>
      <c r="H6" s="3">
        <f t="shared" si="0"/>
        <v>2280</v>
      </c>
    </row>
    <row r="7" spans="2:17" x14ac:dyDescent="0.25">
      <c r="B7" t="s">
        <v>4</v>
      </c>
      <c r="C7" s="2">
        <v>139820</v>
      </c>
      <c r="D7" s="2">
        <v>778000000</v>
      </c>
      <c r="E7" s="2">
        <v>13</v>
      </c>
      <c r="G7" s="4">
        <f>(C7/1000)*2</f>
        <v>279.64</v>
      </c>
      <c r="H7" s="3">
        <f t="shared" si="0"/>
        <v>7780</v>
      </c>
      <c r="J7" s="5" t="s">
        <v>12</v>
      </c>
      <c r="K7" s="5" t="s">
        <v>13</v>
      </c>
      <c r="O7" s="5" t="s">
        <v>9</v>
      </c>
      <c r="P7" s="5" t="s">
        <v>10</v>
      </c>
    </row>
    <row r="8" spans="2:17" x14ac:dyDescent="0.25">
      <c r="B8" t="s">
        <v>5</v>
      </c>
      <c r="C8" s="2">
        <v>116460</v>
      </c>
      <c r="D8" s="2">
        <v>1400000000</v>
      </c>
      <c r="E8" s="2">
        <v>9.69</v>
      </c>
      <c r="G8" s="4">
        <f>(C8/1000)*2</f>
        <v>232.92</v>
      </c>
      <c r="H8" s="3">
        <f t="shared" si="0"/>
        <v>14000</v>
      </c>
      <c r="J8">
        <v>1</v>
      </c>
      <c r="K8">
        <v>1</v>
      </c>
      <c r="O8" s="2">
        <v>1392700</v>
      </c>
      <c r="P8">
        <v>139208</v>
      </c>
    </row>
    <row r="9" spans="2:17" x14ac:dyDescent="0.25">
      <c r="B9" t="s">
        <v>6</v>
      </c>
      <c r="C9" s="2">
        <v>50724</v>
      </c>
      <c r="D9" s="2">
        <v>2900000000</v>
      </c>
      <c r="E9" s="2">
        <v>6.81</v>
      </c>
      <c r="G9" s="4">
        <v>115</v>
      </c>
      <c r="H9" s="3">
        <f t="shared" si="0"/>
        <v>29000</v>
      </c>
    </row>
    <row r="10" spans="2:17" x14ac:dyDescent="0.25">
      <c r="B10" t="s">
        <v>7</v>
      </c>
      <c r="C10" s="2">
        <v>49244</v>
      </c>
      <c r="D10" s="2">
        <v>4500000000</v>
      </c>
      <c r="E10" s="2">
        <v>5.43</v>
      </c>
      <c r="G10" s="4">
        <v>109</v>
      </c>
      <c r="H10" s="3">
        <f t="shared" si="0"/>
        <v>45000</v>
      </c>
    </row>
    <row r="12" spans="2:17" x14ac:dyDescent="0.25">
      <c r="C12" s="5" t="s">
        <v>16</v>
      </c>
      <c r="D12" s="5" t="s">
        <v>17</v>
      </c>
      <c r="E12" s="5"/>
      <c r="O12" s="5" t="s">
        <v>18</v>
      </c>
    </row>
    <row r="13" spans="2:17" x14ac:dyDescent="0.25">
      <c r="B13" t="s">
        <v>0</v>
      </c>
      <c r="C13" s="3">
        <f>C3*1000</f>
        <v>4879000</v>
      </c>
      <c r="D13" s="3">
        <f>D3*1000</f>
        <v>58000000000</v>
      </c>
      <c r="E13" s="3"/>
      <c r="G13" s="3">
        <f>C13/10000</f>
        <v>487.9</v>
      </c>
      <c r="H13" s="3">
        <f>H3+Q13</f>
        <v>100580</v>
      </c>
      <c r="J13" s="3"/>
      <c r="O13" s="2">
        <f>O8*1000</f>
        <v>1392700000</v>
      </c>
      <c r="P13" s="3">
        <f>O13/1000000</f>
        <v>1392.7</v>
      </c>
      <c r="Q13" s="3">
        <v>100000</v>
      </c>
    </row>
    <row r="14" spans="2:17" x14ac:dyDescent="0.25">
      <c r="B14" t="s">
        <v>1</v>
      </c>
      <c r="C14" s="3">
        <f t="shared" ref="C14:D20" si="1">C4*1000</f>
        <v>12104000</v>
      </c>
      <c r="D14" s="3">
        <f t="shared" si="1"/>
        <v>108000000000</v>
      </c>
      <c r="E14" s="3"/>
      <c r="H14" s="3">
        <f>H13*2</f>
        <v>201160</v>
      </c>
      <c r="J14" s="3"/>
    </row>
    <row r="15" spans="2:17" x14ac:dyDescent="0.25">
      <c r="B15" t="s">
        <v>2</v>
      </c>
      <c r="C15" s="3">
        <f t="shared" si="1"/>
        <v>12756000</v>
      </c>
      <c r="D15" s="3">
        <f t="shared" si="1"/>
        <v>150000000000</v>
      </c>
      <c r="E15" s="3"/>
      <c r="H15" s="3">
        <f>H5+$Q$13</f>
        <v>101500</v>
      </c>
      <c r="J15" s="3">
        <f>H14+50000</f>
        <v>251160</v>
      </c>
    </row>
    <row r="16" spans="2:17" x14ac:dyDescent="0.25">
      <c r="B16" t="s">
        <v>3</v>
      </c>
      <c r="C16" s="3">
        <f t="shared" si="1"/>
        <v>6779000</v>
      </c>
      <c r="D16" s="3">
        <f t="shared" si="1"/>
        <v>228000000000</v>
      </c>
      <c r="E16" s="3"/>
      <c r="H16" s="3">
        <f>H6+$Q$13</f>
        <v>102280</v>
      </c>
      <c r="J16" s="3">
        <v>447160</v>
      </c>
    </row>
    <row r="17" spans="2:10" x14ac:dyDescent="0.25">
      <c r="B17" t="s">
        <v>4</v>
      </c>
      <c r="C17" s="3">
        <f t="shared" si="1"/>
        <v>139820000</v>
      </c>
      <c r="D17" s="3">
        <f t="shared" si="1"/>
        <v>778000000000</v>
      </c>
      <c r="E17" s="3"/>
      <c r="H17" s="3">
        <f>H7+$Q$13</f>
        <v>107780</v>
      </c>
      <c r="J17" s="3">
        <f>J16*3</f>
        <v>1341480</v>
      </c>
    </row>
    <row r="18" spans="2:10" x14ac:dyDescent="0.25">
      <c r="B18" t="s">
        <v>5</v>
      </c>
      <c r="C18" s="3">
        <f t="shared" si="1"/>
        <v>116460000</v>
      </c>
      <c r="D18" s="3">
        <f t="shared" si="1"/>
        <v>1400000000000</v>
      </c>
      <c r="E18" s="3"/>
      <c r="H18" s="3">
        <f>H8+$Q$13</f>
        <v>114000</v>
      </c>
      <c r="J18" s="3">
        <f>J17*2</f>
        <v>2682960</v>
      </c>
    </row>
    <row r="19" spans="2:10" x14ac:dyDescent="0.25">
      <c r="B19" t="s">
        <v>6</v>
      </c>
      <c r="C19" s="3">
        <f t="shared" si="1"/>
        <v>50724000</v>
      </c>
      <c r="D19" s="3">
        <f t="shared" si="1"/>
        <v>2900000000000</v>
      </c>
      <c r="E19" s="3"/>
      <c r="H19" s="3">
        <f>H9+$Q$13</f>
        <v>129000</v>
      </c>
      <c r="J19" s="3">
        <f>J18*2</f>
        <v>5365920</v>
      </c>
    </row>
    <row r="20" spans="2:10" x14ac:dyDescent="0.25">
      <c r="B20" t="s">
        <v>7</v>
      </c>
      <c r="C20" s="3">
        <f t="shared" si="1"/>
        <v>49244000</v>
      </c>
      <c r="D20" s="3">
        <f t="shared" si="1"/>
        <v>4500000000000</v>
      </c>
      <c r="E20" s="3"/>
      <c r="H20" s="3">
        <f>H10+$Q$13</f>
        <v>145000</v>
      </c>
      <c r="J20" s="3">
        <v>8365920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02-111222-281</dc:creator>
  <cp:lastModifiedBy>02-111222-281</cp:lastModifiedBy>
  <dcterms:created xsi:type="dcterms:W3CDTF">2025-10-06T11:54:05Z</dcterms:created>
  <dcterms:modified xsi:type="dcterms:W3CDTF">2025-10-11T06:58:25Z</dcterms:modified>
</cp:coreProperties>
</file>